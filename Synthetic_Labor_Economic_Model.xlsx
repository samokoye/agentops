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Definitions" sheetId="1" r:id="rId4"/>
    <sheet state="visible" name="Inputs" sheetId="2" r:id="rId5"/>
    <sheet state="visible" name="ROI_Model" sheetId="3" r:id="rId6"/>
    <sheet state="visible" name="Sensitivity_Volume" sheetId="4" r:id="rId7"/>
    <sheet state="visible" name="Sensitivity_Compute" sheetId="5" r:id="rId8"/>
    <sheet state="visible" name="Strategic_Scorecard" sheetId="6" r:id="rId9"/>
  </sheets>
  <definedNames/>
  <calcPr/>
  <extLst>
    <ext uri="GoogleSheetsCustomDataVersion2">
      <go:sheetsCustomData xmlns:go="http://customooxmlschemas.google.com/" r:id="rId10" roundtripDataChecksum="JmOS3ZMbbequqE0SVk0gH1CwCFwGq2w7EIDxaG9MxKI="/>
    </ext>
  </extLst>
</workbook>
</file>

<file path=xl/sharedStrings.xml><?xml version="1.0" encoding="utf-8"?>
<sst xmlns="http://schemas.openxmlformats.org/spreadsheetml/2006/main" count="161" uniqueCount="115">
  <si>
    <t>Synthetic Labor Cost Model: User Guide &amp; Definitions</t>
  </si>
  <si>
    <t>SHEET 1: INPUTS &amp; ASSUMPTIONS</t>
  </si>
  <si>
    <t>Definition</t>
  </si>
  <si>
    <t>Source</t>
  </si>
  <si>
    <t>Metric Type</t>
  </si>
  <si>
    <t>Fully Loaded Hourly Rate</t>
  </si>
  <si>
    <t>Total cost of a human worker per hour (salary + benefits + tax).</t>
  </si>
  <si>
    <t>HR/Finance</t>
  </si>
  <si>
    <t>Input</t>
  </si>
  <si>
    <t>Average Time per Task</t>
  </si>
  <si>
    <t>Mean duration for a human to complete one workflow cycle.</t>
  </si>
  <si>
    <t>Operational Logs</t>
  </si>
  <si>
    <t>Compute/API Cost per Task</t>
  </si>
  <si>
    <t>Average inference/infrastructure cost (e.g., Vertex AI tokens).</t>
  </si>
  <si>
    <t>Cloud Billing</t>
  </si>
  <si>
    <t>Monthly AgentOps Overhead</t>
  </si>
  <si>
    <t>Fixed cost for orchestration, governance, and technical monitoring.</t>
  </si>
  <si>
    <t>Eng Budget</t>
  </si>
  <si>
    <t>Monthly Task Volume</t>
  </si>
  <si>
    <t>Total throughput required for the 30-day period.</t>
  </si>
  <si>
    <t>Historical Data</t>
  </si>
  <si>
    <t>Workflow Candidate</t>
  </si>
  <si>
    <t>The specific process being evaluated for synthetic labor.</t>
  </si>
  <si>
    <t>Strategy Team</t>
  </si>
  <si>
    <t>SHEET 2: ROI MODEL</t>
  </si>
  <si>
    <t>Formula / Logic</t>
  </si>
  <si>
    <t>Human Total Cost</t>
  </si>
  <si>
    <t>Total spend if work remained 100% human-centric.</t>
  </si>
  <si>
    <t>Volume * Rate * Time</t>
  </si>
  <si>
    <t>Output</t>
  </si>
  <si>
    <t>Synthetic Total Cost</t>
  </si>
  <si>
    <t>Total spend for AI agents (Compute + Overhead).</t>
  </si>
  <si>
    <t>(Vol * Comp) + AgentOps</t>
  </si>
  <si>
    <t>ROI (%)</t>
  </si>
  <si>
    <t>Efficiency gain relative to the synthetic investment.</t>
  </si>
  <si>
    <t>(Savings / Synthetic)</t>
  </si>
  <si>
    <t>KPI</t>
  </si>
  <si>
    <t>SHEET 3: SENSITIVITY_VOLUME</t>
  </si>
  <si>
    <t>Insight Provided</t>
  </si>
  <si>
    <t>Monthly Volume</t>
  </si>
  <si>
    <t>Hypothetical task counts used to test scale.</t>
  </si>
  <si>
    <t>Defines the "Break-even" point.</t>
  </si>
  <si>
    <t>Variable</t>
  </si>
  <si>
    <t>Human vs Synthetic Cost</t>
  </si>
  <si>
    <t>Cost comparison as volume grows.</t>
  </si>
  <si>
    <t>Shows where fixed overhead is amortized.</t>
  </si>
  <si>
    <t>Analysis</t>
  </si>
  <si>
    <t>ROI %</t>
  </si>
  <si>
    <t>Return at specific volume levels.</t>
  </si>
  <si>
    <t>Identifies ideal scale for deployment.</t>
  </si>
  <si>
    <t>SHEET 4: SENSITIVITY_COMPUTE</t>
  </si>
  <si>
    <t>Compute Cost/Task</t>
  </si>
  <si>
    <t>Hypothetical API pricing levels.</t>
  </si>
  <si>
    <t>Tests resilience to price hikes.</t>
  </si>
  <si>
    <t>Return at specific API cost levels.</t>
  </si>
  <si>
    <t>Defines the maximum tolerable API price.</t>
  </si>
  <si>
    <t>SHEET 5: STRATEGIC SCORECARD</t>
  </si>
  <si>
    <t>Risk Thresholds</t>
  </si>
  <si>
    <t>Action</t>
  </si>
  <si>
    <t>Candidate name pulled from Inputs sheet.</t>
  </si>
  <si>
    <t>Cross-sheet ref</t>
  </si>
  <si>
    <t>Metadata</t>
  </si>
  <si>
    <t>ROI (Value)</t>
  </si>
  <si>
    <t>The calculated financial return for the specific candidate.</t>
  </si>
  <si>
    <t>&gt; 100% is High Value</t>
  </si>
  <si>
    <t>Decision Support</t>
  </si>
  <si>
    <t>Policy Violation Rate</t>
  </si>
  <si>
    <t>Governance breaches detected in the "Verify" step.</t>
  </si>
  <si>
    <t>&lt; 2% (Green) / &gt; 10% (Red)</t>
  </si>
  <si>
    <t>Risk Monitor</t>
  </si>
  <si>
    <t>Escalation Frequency</t>
  </si>
  <si>
    <t>Rate of "thrown exceptions" handed back to human oversight.</t>
  </si>
  <si>
    <t>&lt; 5% (Green) / &gt; 10% (Red)</t>
  </si>
  <si>
    <t>Drift Indicator</t>
  </si>
  <si>
    <t>Statistical variance from baseline output quality.</t>
  </si>
  <si>
    <t>Strategic Note</t>
  </si>
  <si>
    <t>Automated recommendation based on Value vs. Risk.</t>
  </si>
  <si>
    <t>Conditional Logic</t>
  </si>
  <si>
    <t>Execution Path</t>
  </si>
  <si>
    <t>HOW TO USE THE MODEL</t>
  </si>
  <si>
    <t>1. Baseline</t>
  </si>
  <si>
    <t>Enter current labor costs and workflow candidate into the "Inputs" sheet.</t>
  </si>
  <si>
    <t>2. Pilot</t>
  </si>
  <si>
    <t>Enter expected API/Infrastructure costs for the agents.</t>
  </si>
  <si>
    <t>3. Score</t>
  </si>
  <si>
    <t>Input telemetry data (violations, escalations) into the Scorecard.</t>
  </si>
  <si>
    <t>4. Execute</t>
  </si>
  <si>
    <t>Follow the "Strategic Note" to Green Light or Redesign.</t>
  </si>
  <si>
    <t>Category</t>
  </si>
  <si>
    <t>Parameter</t>
  </si>
  <si>
    <t>Value</t>
  </si>
  <si>
    <t>Units</t>
  </si>
  <si>
    <t>Notes</t>
  </si>
  <si>
    <t>Human Labor</t>
  </si>
  <si>
    <t>USD</t>
  </si>
  <si>
    <t>Intermodal Customs Exception</t>
  </si>
  <si>
    <t>Hours</t>
  </si>
  <si>
    <t>Synthetic Labor</t>
  </si>
  <si>
    <t>Deterministic systems actually lower cost...</t>
  </si>
  <si>
    <t>Workflow</t>
  </si>
  <si>
    <t>Tasks</t>
  </si>
  <si>
    <t>Throughput</t>
  </si>
  <si>
    <t>Metric</t>
  </si>
  <si>
    <t>Human Baseline</t>
  </si>
  <si>
    <t>Total Monthly Volume</t>
  </si>
  <si>
    <t>Unit Cost (Labor/Compute)</t>
  </si>
  <si>
    <t>Fixed Monthly Overhead</t>
  </si>
  <si>
    <t>Total Monthly Cost</t>
  </si>
  <si>
    <t>Monthly Savings</t>
  </si>
  <si>
    <t>Return on Investment (ROI)</t>
  </si>
  <si>
    <t>Human Cost</t>
  </si>
  <si>
    <t>Synthetic Cost</t>
  </si>
  <si>
    <t>Prior Auth (Oncology)</t>
  </si>
  <si>
    <t>Inverter Anomaly Response</t>
  </si>
  <si>
    <t>Routine Triage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</si>
</sst>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5">
    <font>
      <sz val="11.0"/>
      <color theme="1"/>
      <name val="Calibri"/>
      <scheme val="minor"/>
    </font>
    <font>
      <b/>
      <sz val="14.0"/>
      <color rgb="FF2F5597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top" wrapText="1"/>
    </xf>
    <xf borderId="1" fillId="2" fontId="3" numFmtId="0" xfId="0" applyBorder="1" applyFill="1" applyFont="1"/>
    <xf borderId="1" fillId="3" fontId="4" numFmtId="0" xfId="0" applyBorder="1" applyFill="1" applyFont="1"/>
    <xf borderId="1" fillId="2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3" fontId="4" numFmtId="0" xfId="0" applyAlignment="1" applyBorder="1" applyFont="1">
      <alignment vertical="bottom"/>
    </xf>
    <xf borderId="1" fillId="0" fontId="2" numFmtId="0" xfId="0" applyAlignment="1" applyBorder="1" applyFont="1">
      <alignment vertical="top"/>
    </xf>
    <xf borderId="1" fillId="2" fontId="3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3" numFmtId="0" xfId="0" applyBorder="1" applyFont="1"/>
    <xf borderId="1" fillId="0" fontId="2" numFmtId="9" xfId="0" applyBorder="1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71"/>
    <col customWidth="1" min="3" max="4" width="20.71"/>
    <col customWidth="1" min="5" max="26" width="8.71"/>
  </cols>
  <sheetData>
    <row r="1">
      <c r="A1" s="1" t="s">
        <v>0</v>
      </c>
      <c r="B1" s="1"/>
      <c r="C1" s="1"/>
      <c r="D1" s="1"/>
    </row>
    <row r="2">
      <c r="A2" s="2"/>
      <c r="B2" s="2"/>
      <c r="C2" s="2"/>
      <c r="D2" s="2"/>
    </row>
    <row r="3">
      <c r="A3" s="3" t="s">
        <v>1</v>
      </c>
      <c r="B3" s="4" t="s">
        <v>2</v>
      </c>
      <c r="C3" s="4" t="s">
        <v>3</v>
      </c>
      <c r="D3" s="4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</row>
    <row r="5">
      <c r="A5" s="2" t="s">
        <v>9</v>
      </c>
      <c r="B5" s="2" t="s">
        <v>10</v>
      </c>
      <c r="C5" s="2" t="s">
        <v>11</v>
      </c>
      <c r="D5" s="2" t="s">
        <v>8</v>
      </c>
    </row>
    <row r="6">
      <c r="A6" s="2" t="s">
        <v>12</v>
      </c>
      <c r="B6" s="2" t="s">
        <v>13</v>
      </c>
      <c r="C6" s="2" t="s">
        <v>14</v>
      </c>
      <c r="D6" s="2" t="s">
        <v>8</v>
      </c>
    </row>
    <row r="7">
      <c r="A7" s="2" t="s">
        <v>15</v>
      </c>
      <c r="B7" s="2" t="s">
        <v>16</v>
      </c>
      <c r="C7" s="2" t="s">
        <v>17</v>
      </c>
      <c r="D7" s="2" t="s">
        <v>8</v>
      </c>
    </row>
    <row r="8">
      <c r="A8" s="2" t="s">
        <v>18</v>
      </c>
      <c r="B8" s="2" t="s">
        <v>19</v>
      </c>
      <c r="C8" s="2" t="s">
        <v>20</v>
      </c>
      <c r="D8" s="2" t="s">
        <v>8</v>
      </c>
    </row>
    <row r="9">
      <c r="A9" s="2" t="s">
        <v>21</v>
      </c>
      <c r="B9" s="2" t="s">
        <v>22</v>
      </c>
      <c r="C9" s="2" t="s">
        <v>23</v>
      </c>
      <c r="D9" s="2" t="s">
        <v>8</v>
      </c>
    </row>
    <row r="10">
      <c r="A10" s="2"/>
      <c r="B10" s="2"/>
      <c r="C10" s="2"/>
      <c r="D10" s="2"/>
    </row>
    <row r="11">
      <c r="A11" s="3" t="s">
        <v>24</v>
      </c>
      <c r="B11" s="4" t="s">
        <v>2</v>
      </c>
      <c r="C11" s="4" t="s">
        <v>25</v>
      </c>
      <c r="D11" s="4" t="s">
        <v>4</v>
      </c>
    </row>
    <row r="12">
      <c r="A12" s="2" t="s">
        <v>26</v>
      </c>
      <c r="B12" s="2" t="s">
        <v>27</v>
      </c>
      <c r="C12" s="2" t="s">
        <v>28</v>
      </c>
      <c r="D12" s="2" t="s">
        <v>29</v>
      </c>
    </row>
    <row r="13">
      <c r="A13" s="2" t="s">
        <v>30</v>
      </c>
      <c r="B13" s="2" t="s">
        <v>31</v>
      </c>
      <c r="C13" s="2" t="s">
        <v>32</v>
      </c>
      <c r="D13" s="2" t="s">
        <v>29</v>
      </c>
    </row>
    <row r="14">
      <c r="A14" s="2" t="s">
        <v>33</v>
      </c>
      <c r="B14" s="2" t="s">
        <v>34</v>
      </c>
      <c r="C14" s="2" t="s">
        <v>35</v>
      </c>
      <c r="D14" s="2" t="s">
        <v>36</v>
      </c>
    </row>
    <row r="15">
      <c r="A15" s="2"/>
      <c r="B15" s="2"/>
      <c r="C15" s="2"/>
      <c r="D15" s="2"/>
    </row>
    <row r="16">
      <c r="A16" s="5" t="s">
        <v>37</v>
      </c>
      <c r="B16" s="2" t="s">
        <v>2</v>
      </c>
      <c r="C16" s="2" t="s">
        <v>38</v>
      </c>
      <c r="D16" s="2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39</v>
      </c>
      <c r="B17" s="7" t="s">
        <v>40</v>
      </c>
      <c r="C17" s="7" t="s">
        <v>41</v>
      </c>
      <c r="D17" s="7" t="s">
        <v>42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" t="s">
        <v>43</v>
      </c>
      <c r="B18" s="2" t="s">
        <v>44</v>
      </c>
      <c r="C18" s="2" t="s">
        <v>45</v>
      </c>
      <c r="D18" s="2" t="s">
        <v>46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" t="s">
        <v>47</v>
      </c>
      <c r="B19" s="2" t="s">
        <v>48</v>
      </c>
      <c r="C19" s="2" t="s">
        <v>49</v>
      </c>
      <c r="D19" s="2" t="s">
        <v>29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8"/>
      <c r="C20" s="8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50</v>
      </c>
      <c r="B21" s="2" t="s">
        <v>2</v>
      </c>
      <c r="C21" s="2" t="s">
        <v>38</v>
      </c>
      <c r="D21" s="2" t="s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" t="s">
        <v>51</v>
      </c>
      <c r="B22" s="2" t="s">
        <v>52</v>
      </c>
      <c r="C22" s="2" t="s">
        <v>53</v>
      </c>
      <c r="D22" s="2" t="s">
        <v>42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47</v>
      </c>
      <c r="B23" s="7" t="s">
        <v>54</v>
      </c>
      <c r="C23" s="7" t="s">
        <v>55</v>
      </c>
      <c r="D23" s="7" t="s">
        <v>29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8"/>
      <c r="C24" s="8"/>
      <c r="D24" s="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 t="s">
        <v>56</v>
      </c>
      <c r="B25" s="4" t="s">
        <v>2</v>
      </c>
      <c r="C25" s="4" t="s">
        <v>57</v>
      </c>
      <c r="D25" s="4" t="s">
        <v>58</v>
      </c>
    </row>
    <row r="26">
      <c r="A26" s="2" t="s">
        <v>21</v>
      </c>
      <c r="B26" s="2" t="s">
        <v>59</v>
      </c>
      <c r="C26" s="2" t="s">
        <v>60</v>
      </c>
      <c r="D26" s="2" t="s">
        <v>61</v>
      </c>
    </row>
    <row r="27">
      <c r="A27" s="2" t="s">
        <v>62</v>
      </c>
      <c r="B27" s="2" t="s">
        <v>63</v>
      </c>
      <c r="C27" s="2" t="s">
        <v>64</v>
      </c>
      <c r="D27" s="2" t="s">
        <v>65</v>
      </c>
    </row>
    <row r="28">
      <c r="A28" s="2" t="s">
        <v>66</v>
      </c>
      <c r="B28" s="2" t="s">
        <v>67</v>
      </c>
      <c r="C28" s="2" t="s">
        <v>68</v>
      </c>
      <c r="D28" s="2" t="s">
        <v>69</v>
      </c>
    </row>
    <row r="29">
      <c r="A29" s="2" t="s">
        <v>70</v>
      </c>
      <c r="B29" s="2" t="s">
        <v>71</v>
      </c>
      <c r="C29" s="2" t="s">
        <v>72</v>
      </c>
      <c r="D29" s="2" t="s">
        <v>69</v>
      </c>
    </row>
    <row r="30" ht="15.75" customHeight="1">
      <c r="A30" s="2" t="s">
        <v>73</v>
      </c>
      <c r="B30" s="2" t="s">
        <v>74</v>
      </c>
      <c r="C30" s="2" t="s">
        <v>72</v>
      </c>
      <c r="D30" s="2" t="s">
        <v>69</v>
      </c>
    </row>
    <row r="31" ht="15.75" customHeight="1">
      <c r="A31" s="2" t="s">
        <v>75</v>
      </c>
      <c r="B31" s="2" t="s">
        <v>76</v>
      </c>
      <c r="C31" s="2" t="s">
        <v>77</v>
      </c>
      <c r="D31" s="2" t="s">
        <v>78</v>
      </c>
    </row>
    <row r="32" ht="15.75" customHeight="1">
      <c r="A32" s="2"/>
      <c r="B32" s="2"/>
      <c r="C32" s="2"/>
      <c r="D32" s="2"/>
    </row>
    <row r="33" ht="15.75" customHeight="1">
      <c r="A33" s="3" t="s">
        <v>79</v>
      </c>
      <c r="B33" s="2"/>
      <c r="C33" s="2"/>
      <c r="D33" s="2"/>
    </row>
    <row r="34" ht="15.75" customHeight="1">
      <c r="A34" s="2" t="s">
        <v>80</v>
      </c>
      <c r="B34" s="2" t="s">
        <v>81</v>
      </c>
      <c r="C34" s="2"/>
      <c r="D34" s="2"/>
    </row>
    <row r="35" ht="15.75" customHeight="1">
      <c r="A35" s="2" t="s">
        <v>82</v>
      </c>
      <c r="B35" s="2" t="s">
        <v>83</v>
      </c>
      <c r="C35" s="2"/>
      <c r="D35" s="2"/>
    </row>
    <row r="36" ht="15.75" customHeight="1">
      <c r="A36" s="2" t="s">
        <v>84</v>
      </c>
      <c r="B36" s="2" t="s">
        <v>85</v>
      </c>
      <c r="C36" s="2"/>
      <c r="D36" s="2"/>
    </row>
    <row r="37" ht="15.75" customHeight="1">
      <c r="A37" s="2" t="s">
        <v>86</v>
      </c>
      <c r="B37" s="2" t="s">
        <v>87</v>
      </c>
      <c r="C37" s="2"/>
      <c r="D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71"/>
    <col customWidth="1" min="3" max="4" width="15.71"/>
    <col customWidth="1" min="5" max="6" width="35.71"/>
    <col customWidth="1" min="7" max="26" width="8.71"/>
  </cols>
  <sheetData>
    <row r="1">
      <c r="A1" s="4" t="s">
        <v>88</v>
      </c>
      <c r="B1" s="4" t="s">
        <v>89</v>
      </c>
      <c r="C1" s="4" t="s">
        <v>90</v>
      </c>
      <c r="D1" s="4" t="s">
        <v>91</v>
      </c>
      <c r="E1" s="4" t="s">
        <v>21</v>
      </c>
      <c r="F1" s="4" t="s">
        <v>92</v>
      </c>
    </row>
    <row r="2">
      <c r="A2" s="2" t="s">
        <v>93</v>
      </c>
      <c r="B2" s="2" t="s">
        <v>5</v>
      </c>
      <c r="C2" s="10">
        <v>50.0</v>
      </c>
      <c r="D2" s="2" t="s">
        <v>94</v>
      </c>
      <c r="E2" s="2" t="s">
        <v>95</v>
      </c>
      <c r="F2" s="2"/>
    </row>
    <row r="3">
      <c r="A3" s="2" t="s">
        <v>93</v>
      </c>
      <c r="B3" s="2" t="s">
        <v>9</v>
      </c>
      <c r="C3" s="2">
        <v>1.0</v>
      </c>
      <c r="D3" s="2" t="s">
        <v>96</v>
      </c>
      <c r="E3" s="2"/>
      <c r="F3" s="2"/>
    </row>
    <row r="4">
      <c r="A4" s="2" t="s">
        <v>97</v>
      </c>
      <c r="B4" s="2" t="s">
        <v>12</v>
      </c>
      <c r="C4" s="10">
        <v>2.0</v>
      </c>
      <c r="D4" s="2" t="s">
        <v>94</v>
      </c>
      <c r="E4" s="2"/>
      <c r="F4" s="2"/>
    </row>
    <row r="5">
      <c r="A5" s="2" t="s">
        <v>97</v>
      </c>
      <c r="B5" s="2" t="s">
        <v>15</v>
      </c>
      <c r="C5" s="10">
        <v>20000.0</v>
      </c>
      <c r="D5" s="2" t="s">
        <v>94</v>
      </c>
      <c r="E5" s="2"/>
      <c r="F5" s="2" t="s">
        <v>98</v>
      </c>
    </row>
    <row r="6">
      <c r="A6" s="2" t="s">
        <v>99</v>
      </c>
      <c r="B6" s="2" t="s">
        <v>18</v>
      </c>
      <c r="C6" s="2">
        <v>1000.0</v>
      </c>
      <c r="D6" s="2" t="s">
        <v>100</v>
      </c>
      <c r="E6" s="2"/>
      <c r="F6" s="2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0.71"/>
    <col customWidth="1" min="4" max="4" width="30.71"/>
    <col customWidth="1" min="5" max="26" width="8.71"/>
  </cols>
  <sheetData>
    <row r="1">
      <c r="A1" s="4" t="s">
        <v>102</v>
      </c>
      <c r="B1" s="4" t="s">
        <v>103</v>
      </c>
      <c r="C1" s="4" t="s">
        <v>97</v>
      </c>
      <c r="D1" s="4" t="s">
        <v>92</v>
      </c>
    </row>
    <row r="2">
      <c r="A2" s="2" t="s">
        <v>104</v>
      </c>
      <c r="B2" s="2">
        <f>Inputs!C6</f>
        <v>1000</v>
      </c>
      <c r="C2" s="2">
        <f>Inputs!C6</f>
        <v>1000</v>
      </c>
      <c r="D2" s="2"/>
    </row>
    <row r="3">
      <c r="A3" s="2" t="s">
        <v>105</v>
      </c>
      <c r="B3" s="10">
        <f>Inputs!C2*Inputs!C3</f>
        <v>50</v>
      </c>
      <c r="C3" s="10">
        <f>Inputs!C4</f>
        <v>2</v>
      </c>
      <c r="D3" s="2"/>
    </row>
    <row r="4">
      <c r="A4" s="2" t="s">
        <v>106</v>
      </c>
      <c r="B4" s="10">
        <v>0.0</v>
      </c>
      <c r="C4" s="10">
        <f>Inputs!C5</f>
        <v>20000</v>
      </c>
      <c r="D4" s="2"/>
    </row>
    <row r="5">
      <c r="A5" s="2" t="s">
        <v>107</v>
      </c>
      <c r="B5" s="10">
        <f t="shared" ref="B5:C5" si="1">(B2*B3)+B4</f>
        <v>50000</v>
      </c>
      <c r="C5" s="10">
        <f t="shared" si="1"/>
        <v>22000</v>
      </c>
      <c r="D5" s="2"/>
    </row>
    <row r="6">
      <c r="A6" s="2"/>
      <c r="B6" s="2"/>
      <c r="C6" s="2"/>
      <c r="D6" s="2"/>
    </row>
    <row r="7">
      <c r="A7" s="2" t="s">
        <v>108</v>
      </c>
      <c r="B7" s="10">
        <f>B5-C5</f>
        <v>28000</v>
      </c>
      <c r="C7" s="2"/>
      <c r="D7" s="2"/>
    </row>
    <row r="8">
      <c r="A8" s="11" t="s">
        <v>109</v>
      </c>
      <c r="B8" s="12">
        <f>(B5-C5)/C5</f>
        <v>1.272727273</v>
      </c>
      <c r="C8" s="2"/>
      <c r="D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71"/>
    <col customWidth="1" min="5" max="26" width="8.71"/>
  </cols>
  <sheetData>
    <row r="1">
      <c r="A1" s="4" t="s">
        <v>39</v>
      </c>
      <c r="B1" s="4" t="s">
        <v>110</v>
      </c>
      <c r="C1" s="4" t="s">
        <v>111</v>
      </c>
      <c r="D1" s="4" t="s">
        <v>47</v>
      </c>
    </row>
    <row r="2">
      <c r="A2" s="2">
        <v>500.0</v>
      </c>
      <c r="B2" s="10">
        <f>A2 * Inputs!$C$2 * Inputs!$C$3</f>
        <v>25000</v>
      </c>
      <c r="C2" s="10">
        <f>(A2 * Inputs!$C$4) + Inputs!$C$5</f>
        <v>21000</v>
      </c>
      <c r="D2" s="12">
        <f t="shared" ref="D2:D6" si="1">(B2-C2)/C2</f>
        <v>0.1904761905</v>
      </c>
    </row>
    <row r="3">
      <c r="A3" s="2">
        <v>1000.0</v>
      </c>
      <c r="B3" s="10">
        <f>A3 * Inputs!$C$2 * Inputs!$C$3</f>
        <v>50000</v>
      </c>
      <c r="C3" s="10">
        <f>(A3 * Inputs!$C$4) + Inputs!$C$5</f>
        <v>22000</v>
      </c>
      <c r="D3" s="12">
        <f t="shared" si="1"/>
        <v>1.272727273</v>
      </c>
    </row>
    <row r="4">
      <c r="A4" s="2">
        <v>2500.0</v>
      </c>
      <c r="B4" s="10">
        <f>A4 * Inputs!$C$2 * Inputs!$C$3</f>
        <v>125000</v>
      </c>
      <c r="C4" s="10">
        <f>(A4 * Inputs!$C$4) + Inputs!$C$5</f>
        <v>25000</v>
      </c>
      <c r="D4" s="12">
        <f t="shared" si="1"/>
        <v>4</v>
      </c>
    </row>
    <row r="5">
      <c r="A5" s="2">
        <v>5000.0</v>
      </c>
      <c r="B5" s="10">
        <f>A5 * Inputs!$C$2 * Inputs!$C$3</f>
        <v>250000</v>
      </c>
      <c r="C5" s="10">
        <f>(A5 * Inputs!$C$4) + Inputs!$C$5</f>
        <v>30000</v>
      </c>
      <c r="D5" s="12">
        <f t="shared" si="1"/>
        <v>7.333333333</v>
      </c>
    </row>
    <row r="6">
      <c r="A6" s="2">
        <v>10000.0</v>
      </c>
      <c r="B6" s="10">
        <f>A6 * Inputs!$C$2 * Inputs!$C$3</f>
        <v>500000</v>
      </c>
      <c r="C6" s="10">
        <f>(A6 * Inputs!$C$4) + Inputs!$C$5</f>
        <v>40000</v>
      </c>
      <c r="D6" s="12">
        <f t="shared" si="1"/>
        <v>11.5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71"/>
    <col customWidth="1" min="5" max="26" width="8.71"/>
  </cols>
  <sheetData>
    <row r="1">
      <c r="A1" s="4" t="s">
        <v>51</v>
      </c>
      <c r="B1" s="4" t="s">
        <v>110</v>
      </c>
      <c r="C1" s="4" t="s">
        <v>111</v>
      </c>
      <c r="D1" s="4" t="s">
        <v>47</v>
      </c>
    </row>
    <row r="2">
      <c r="A2" s="10">
        <v>1.0</v>
      </c>
      <c r="B2" s="10">
        <f>Inputs!$C$6 * Inputs!$C$2 * Inputs!$C$3</f>
        <v>50000</v>
      </c>
      <c r="C2" s="10">
        <f>(Inputs!$C$6 * A2) + Inputs!$C$5</f>
        <v>21000</v>
      </c>
      <c r="D2" s="12">
        <f t="shared" ref="D2:D6" si="1">(B2-C2)/C2</f>
        <v>1.380952381</v>
      </c>
    </row>
    <row r="3">
      <c r="A3" s="10">
        <v>2.0</v>
      </c>
      <c r="B3" s="10">
        <f>Inputs!$C$6 * Inputs!$C$2 * Inputs!$C$3</f>
        <v>50000</v>
      </c>
      <c r="C3" s="10">
        <f>(Inputs!$C$6 * A3) + Inputs!$C$5</f>
        <v>22000</v>
      </c>
      <c r="D3" s="12">
        <f t="shared" si="1"/>
        <v>1.272727273</v>
      </c>
    </row>
    <row r="4">
      <c r="A4" s="10">
        <v>5.0</v>
      </c>
      <c r="B4" s="10">
        <f>Inputs!$C$6 * Inputs!$C$2 * Inputs!$C$3</f>
        <v>50000</v>
      </c>
      <c r="C4" s="10">
        <f>(Inputs!$C$6 * A4) + Inputs!$C$5</f>
        <v>25000</v>
      </c>
      <c r="D4" s="12">
        <f t="shared" si="1"/>
        <v>1</v>
      </c>
    </row>
    <row r="5">
      <c r="A5" s="10">
        <v>10.0</v>
      </c>
      <c r="B5" s="10">
        <f>Inputs!$C$6 * Inputs!$C$2 * Inputs!$C$3</f>
        <v>50000</v>
      </c>
      <c r="C5" s="10">
        <f>(Inputs!$C$6 * A5) + Inputs!$C$5</f>
        <v>30000</v>
      </c>
      <c r="D5" s="12">
        <f t="shared" si="1"/>
        <v>0.6666666667</v>
      </c>
    </row>
    <row r="6">
      <c r="A6" s="10">
        <v>15.0</v>
      </c>
      <c r="B6" s="10">
        <f>Inputs!$C$6 * Inputs!$C$2 * Inputs!$C$3</f>
        <v>50000</v>
      </c>
      <c r="C6" s="10">
        <f>(Inputs!$C$6 * A6) + Inputs!$C$5</f>
        <v>35000</v>
      </c>
      <c r="D6" s="12">
        <f t="shared" si="1"/>
        <v>0.4285714286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5" width="20.71"/>
    <col customWidth="1" min="6" max="6" width="65.71"/>
    <col customWidth="1" min="7" max="26" width="8.71"/>
  </cols>
  <sheetData>
    <row r="1">
      <c r="A1" s="4" t="s">
        <v>21</v>
      </c>
      <c r="B1" s="4" t="s">
        <v>62</v>
      </c>
      <c r="C1" s="4" t="s">
        <v>66</v>
      </c>
      <c r="D1" s="4" t="s">
        <v>70</v>
      </c>
      <c r="E1" s="4" t="s">
        <v>73</v>
      </c>
      <c r="F1" s="4" t="s">
        <v>75</v>
      </c>
    </row>
    <row r="2">
      <c r="A2" s="2" t="str">
        <f>Inputs!E2</f>
        <v>Intermodal Customs Exception</v>
      </c>
      <c r="B2" s="12">
        <f>ROI_Model!B8</f>
        <v>1.272727273</v>
      </c>
      <c r="C2" s="12">
        <v>0.02</v>
      </c>
      <c r="D2" s="12">
        <v>0.04</v>
      </c>
      <c r="E2" s="12">
        <v>0.01</v>
      </c>
      <c r="F2" s="2" t="str">
        <f>IF(AND(B2&gt;1, MAX(C2:E2)&lt;0.05), "Green Light: Ideal for 30-day pilot.", IF(B2&gt;0.5, "High Value/High Risk: Instrument 'Verify' &amp; 'Escalate' before scaling.", "Institutional Drift Trap: Avoid or redesign process."))</f>
        <v>Green Light: Ideal for 30-day pilot.</v>
      </c>
    </row>
    <row r="5">
      <c r="A5" s="2" t="s">
        <v>112</v>
      </c>
      <c r="B5" s="12">
        <v>0.85</v>
      </c>
      <c r="C5" s="12">
        <v>0.08</v>
      </c>
      <c r="D5" s="12">
        <v>0.15</v>
      </c>
      <c r="E5" s="12">
        <v>0.05</v>
      </c>
      <c r="F5" s="2" t="str">
        <f t="shared" ref="F5:F7" si="1">IF(AND(B5&gt;1, MAX(C5:E5)&lt;0.05), "Green Light: Ideal for 30-day pilot.", IF(B5&gt;0.5, "High Value/High Risk: Instrument 'Verify' &amp; 'Escalate' before scaling.", "Institutional Drift Trap: Avoid or redesign process."))</f>
        <v>High Value/High Risk: Instrument 'Verify' &amp; 'Escalate' before scaling.</v>
      </c>
    </row>
    <row r="6">
      <c r="A6" s="2" t="s">
        <v>113</v>
      </c>
      <c r="B6" s="12">
        <v>0.45</v>
      </c>
      <c r="C6" s="12">
        <v>0.12</v>
      </c>
      <c r="D6" s="12">
        <v>0.2</v>
      </c>
      <c r="E6" s="12">
        <v>0.1</v>
      </c>
      <c r="F6" s="2" t="str">
        <f t="shared" si="1"/>
        <v>Institutional Drift Trap: Avoid or redesign process.</v>
      </c>
    </row>
    <row r="7">
      <c r="A7" s="2" t="s">
        <v>114</v>
      </c>
      <c r="B7" s="12">
        <v>2.1</v>
      </c>
      <c r="C7" s="12">
        <v>0.01</v>
      </c>
      <c r="D7" s="12">
        <v>0.02</v>
      </c>
      <c r="E7" s="12">
        <v>0.005</v>
      </c>
      <c r="F7" s="2" t="str">
        <f t="shared" si="1"/>
        <v>Green Light: Ideal for 30-day pilot.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E7">
    <cfRule type="cellIs" dxfId="0" priority="1" operator="lessThan">
      <formula>0.05</formula>
    </cfRule>
  </conditionalFormatting>
  <conditionalFormatting sqref="C2:E7">
    <cfRule type="cellIs" dxfId="1" priority="2" operator="between">
      <formula>0.05</formula>
      <formula>0.1</formula>
    </cfRule>
  </conditionalFormatting>
  <conditionalFormatting sqref="C2:E7">
    <cfRule type="cellIs" dxfId="2" priority="3" operator="greaterThan">
      <formula>0.1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2026-03-14T18:31:26Z</dcterms:created>
</cp:coreProperties>
</file>