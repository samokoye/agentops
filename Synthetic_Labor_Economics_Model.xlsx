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ROI_Model" sheetId="2" r:id="rId5"/>
    <sheet state="visible" name="Sensitivity_Volume" sheetId="3" r:id="rId6"/>
    <sheet state="visible" name="Sensitivity_Compute" sheetId="4" r:id="rId7"/>
  </sheets>
  <definedNames/>
  <calcPr/>
  <extLst>
    <ext uri="GoogleSheetsCustomDataVersion2">
      <go:sheetsCustomData xmlns:go="http://customooxmlschemas.google.com/" r:id="rId8" roundtripDataChecksum="6HXHhDV03ZC1TKJWJb6ouvJk08AyKtJdX9UD8jvjbN0="/>
    </ext>
  </extLst>
</workbook>
</file>

<file path=xl/sharedStrings.xml><?xml version="1.0" encoding="utf-8"?>
<sst xmlns="http://schemas.openxmlformats.org/spreadsheetml/2006/main" count="38" uniqueCount="30">
  <si>
    <t>Category</t>
  </si>
  <si>
    <t>Parameter</t>
  </si>
  <si>
    <t>Value</t>
  </si>
  <si>
    <t>Units</t>
  </si>
  <si>
    <t>Notes</t>
  </si>
  <si>
    <t>Human Labor</t>
  </si>
  <si>
    <t>Fully Loaded Hourly Rate</t>
  </si>
  <si>
    <t>USD</t>
  </si>
  <si>
    <t>Average Time per Task</t>
  </si>
  <si>
    <t>Hours</t>
  </si>
  <si>
    <t>Synthetic Labor</t>
  </si>
  <si>
    <t>Compute/API Cost per Task</t>
  </si>
  <si>
    <t>Monthly AgentOps Overhead</t>
  </si>
  <si>
    <t>Deterministic systems actually lower the cost of 'Verification' step compared to purely probabilistic ones</t>
  </si>
  <si>
    <t>Workflow</t>
  </si>
  <si>
    <t>Monthly Task Volume</t>
  </si>
  <si>
    <t>Tasks</t>
  </si>
  <si>
    <t>Metric</t>
  </si>
  <si>
    <t>Human Baseline</t>
  </si>
  <si>
    <t>Total Monthly Volume</t>
  </si>
  <si>
    <t>Unit Cost (Labor/Compute)</t>
  </si>
  <si>
    <t>Fixed Monthly Overhead</t>
  </si>
  <si>
    <t>Total Monthly Cost</t>
  </si>
  <si>
    <t>Monthly Savings</t>
  </si>
  <si>
    <t>Return on Investment (ROI)</t>
  </si>
  <si>
    <t>Monthly Volume</t>
  </si>
  <si>
    <t>Human Cost</t>
  </si>
  <si>
    <t>Synthetic Cost</t>
  </si>
  <si>
    <t>ROI %</t>
  </si>
  <si>
    <t>Compute Cost/Task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</si>
</sst>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164" xfId="0" applyBorder="1" applyFont="1" applyNumberFormat="1"/>
    <xf borderId="1" fillId="0" fontId="2" numFmtId="9" xfId="0" applyBorder="1" applyFont="1" applyNumberFormat="1"/>
    <xf borderId="1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5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>
        <v>50.0</v>
      </c>
      <c r="D2" s="1" t="s">
        <v>7</v>
      </c>
    </row>
    <row r="3">
      <c r="A3" s="1" t="s">
        <v>5</v>
      </c>
      <c r="B3" s="1" t="s">
        <v>8</v>
      </c>
      <c r="C3" s="1">
        <v>1.0</v>
      </c>
      <c r="D3" s="1" t="s">
        <v>9</v>
      </c>
    </row>
    <row r="4">
      <c r="A4" s="1" t="s">
        <v>10</v>
      </c>
      <c r="B4" s="1" t="s">
        <v>11</v>
      </c>
      <c r="C4" s="1">
        <v>2.0</v>
      </c>
      <c r="D4" s="1" t="s">
        <v>7</v>
      </c>
    </row>
    <row r="5">
      <c r="A5" s="1" t="s">
        <v>10</v>
      </c>
      <c r="B5" s="1" t="s">
        <v>12</v>
      </c>
      <c r="C5" s="1">
        <v>20000.0</v>
      </c>
      <c r="D5" s="1" t="s">
        <v>7</v>
      </c>
      <c r="E5" s="2" t="s">
        <v>13</v>
      </c>
    </row>
    <row r="6">
      <c r="A6" s="1" t="s">
        <v>14</v>
      </c>
      <c r="B6" s="1" t="s">
        <v>15</v>
      </c>
      <c r="C6" s="1">
        <v>1000.0</v>
      </c>
      <c r="D6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71"/>
    <col customWidth="1" min="4" max="26" width="8.71"/>
  </cols>
  <sheetData>
    <row r="1">
      <c r="A1" s="1" t="s">
        <v>17</v>
      </c>
      <c r="B1" s="1" t="s">
        <v>18</v>
      </c>
      <c r="C1" s="1" t="s">
        <v>10</v>
      </c>
    </row>
    <row r="2">
      <c r="A2" s="1" t="s">
        <v>19</v>
      </c>
      <c r="B2" s="1">
        <f>Inputs!C6</f>
        <v>1000</v>
      </c>
      <c r="C2" s="1">
        <f>Inputs!C6</f>
        <v>1000</v>
      </c>
    </row>
    <row r="3">
      <c r="A3" s="1" t="s">
        <v>20</v>
      </c>
      <c r="B3" s="1">
        <f>Inputs!C2*Inputs!C3</f>
        <v>50</v>
      </c>
      <c r="C3" s="1">
        <f>Inputs!C4</f>
        <v>2</v>
      </c>
    </row>
    <row r="4">
      <c r="A4" s="1" t="s">
        <v>21</v>
      </c>
      <c r="B4" s="1">
        <v>0.0</v>
      </c>
      <c r="C4" s="1">
        <f>Inputs!C5</f>
        <v>20000</v>
      </c>
    </row>
    <row r="5">
      <c r="A5" s="1" t="s">
        <v>22</v>
      </c>
      <c r="B5" s="3">
        <f t="shared" ref="B5:C5" si="1">(B2*B3)+B4</f>
        <v>50000</v>
      </c>
      <c r="C5" s="3">
        <f t="shared" si="1"/>
        <v>22000</v>
      </c>
    </row>
    <row r="7">
      <c r="A7" s="1" t="s">
        <v>23</v>
      </c>
      <c r="B7" s="3">
        <f>B5-C5</f>
        <v>28000</v>
      </c>
    </row>
    <row r="8">
      <c r="A8" s="1" t="s">
        <v>24</v>
      </c>
      <c r="B8" s="4">
        <f>(B5-C5)/C5</f>
        <v>1.272727273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71"/>
    <col customWidth="1" min="5" max="26" width="8.71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</row>
    <row r="2">
      <c r="A2" s="1">
        <v>500.0</v>
      </c>
      <c r="B2" s="1">
        <v>25000.0</v>
      </c>
      <c r="C2" s="1">
        <v>21000.0</v>
      </c>
      <c r="D2" s="1">
        <f t="shared" ref="D2:D6" si="1">(B2-C2)/C2</f>
        <v>0.1904761905</v>
      </c>
    </row>
    <row r="3">
      <c r="A3" s="1">
        <v>1000.0</v>
      </c>
      <c r="B3" s="1">
        <v>50000.0</v>
      </c>
      <c r="C3" s="1">
        <v>22000.0</v>
      </c>
      <c r="D3" s="1">
        <f t="shared" si="1"/>
        <v>1.272727273</v>
      </c>
    </row>
    <row r="4">
      <c r="A4" s="1">
        <v>2500.0</v>
      </c>
      <c r="B4" s="1">
        <v>125000.0</v>
      </c>
      <c r="C4" s="1">
        <v>25000.0</v>
      </c>
      <c r="D4" s="1">
        <f t="shared" si="1"/>
        <v>4</v>
      </c>
    </row>
    <row r="5">
      <c r="A5" s="1">
        <v>5000.0</v>
      </c>
      <c r="B5" s="1">
        <v>250000.0</v>
      </c>
      <c r="C5" s="1">
        <v>30000.0</v>
      </c>
      <c r="D5" s="1">
        <f t="shared" si="1"/>
        <v>7.333333333</v>
      </c>
    </row>
    <row r="6">
      <c r="A6" s="1">
        <v>10000.0</v>
      </c>
      <c r="B6" s="1">
        <v>500000.0</v>
      </c>
      <c r="C6" s="1">
        <v>40000.0</v>
      </c>
      <c r="D6" s="1">
        <f t="shared" si="1"/>
        <v>11.5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71"/>
  </cols>
  <sheetData>
    <row r="1">
      <c r="A1" s="5" t="s">
        <v>29</v>
      </c>
      <c r="B1" s="5" t="s">
        <v>26</v>
      </c>
      <c r="C1" s="5" t="s">
        <v>27</v>
      </c>
      <c r="D1" s="5" t="s">
        <v>28</v>
      </c>
    </row>
    <row r="2">
      <c r="A2" s="1">
        <v>1.0</v>
      </c>
      <c r="B2" s="1">
        <v>50000.0</v>
      </c>
      <c r="C2" s="1">
        <v>21000.0</v>
      </c>
      <c r="D2" s="1">
        <f t="shared" ref="D2:D6" si="1">(B2-C2)/C2</f>
        <v>1.380952381</v>
      </c>
    </row>
    <row r="3">
      <c r="A3" s="1">
        <v>2.0</v>
      </c>
      <c r="B3" s="1">
        <v>50000.0</v>
      </c>
      <c r="C3" s="1">
        <v>22000.0</v>
      </c>
      <c r="D3" s="1">
        <f t="shared" si="1"/>
        <v>1.272727273</v>
      </c>
    </row>
    <row r="4">
      <c r="A4" s="1">
        <v>5.0</v>
      </c>
      <c r="B4" s="1">
        <v>50000.0</v>
      </c>
      <c r="C4" s="1">
        <v>25000.0</v>
      </c>
      <c r="D4" s="1">
        <f t="shared" si="1"/>
        <v>1</v>
      </c>
    </row>
    <row r="5">
      <c r="A5" s="1">
        <v>10.0</v>
      </c>
      <c r="B5" s="1">
        <v>50000.0</v>
      </c>
      <c r="C5" s="1">
        <v>30000.0</v>
      </c>
      <c r="D5" s="1">
        <f t="shared" si="1"/>
        <v>0.6666666667</v>
      </c>
    </row>
    <row r="6">
      <c r="A6" s="1">
        <v>15.0</v>
      </c>
      <c r="B6" s="1">
        <v>50000.0</v>
      </c>
      <c r="C6" s="1">
        <v>35000.0</v>
      </c>
      <c r="D6" s="1">
        <f t="shared" si="1"/>
        <v>0.4285714286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2026-03-14T17:00:49Z</dcterms:created>
</cp:coreProperties>
</file>